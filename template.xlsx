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gunav\OneDrive\Desktop\"/>
    </mc:Choice>
  </mc:AlternateContent>
  <xr:revisionPtr revIDLastSave="0" documentId="13_ncr:1_{68EB7F90-0B87-4657-98C7-120D086FF4F4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Report" sheetId="1" r:id="rId1"/>
    <sheet name="Sheet (2)" sheetId="2" state="hidden" r:id="rId2"/>
  </sheets>
  <definedNames>
    <definedName name="_xlnm._FilterDatabase" localSheetId="1" hidden="1">'Sheet (2)'!$A$9:$P$54</definedName>
    <definedName name="_xlnm.Print_Area" localSheetId="0">Report!$B$3:$M$37</definedName>
    <definedName name="_xlnm.Print_Area" localSheetId="1">'Sheet (2)'!$B$3:$M$50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50" i="2" l="1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B9" i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</calcChain>
</file>

<file path=xl/sharedStrings.xml><?xml version="1.0" encoding="utf-8"?>
<sst xmlns="http://schemas.openxmlformats.org/spreadsheetml/2006/main" count="47" uniqueCount="25">
  <si>
    <t>De'Kriminators Pvt Ltd
FACILITY INSPECTION REPORT
             No 979   Trinity Building , 2nd Floor,3rd Main road, (punjab National Bank ) Diagonally opp to Adeshwar Supermarket, Banaswadi , Banalore 560043
                                                                www.dekriminators.com                                9513374640 / 641                        customercare@dekriminators.in</t>
  </si>
  <si>
    <t>Name of the client</t>
  </si>
  <si>
    <t>Location</t>
  </si>
  <si>
    <t>#</t>
  </si>
  <si>
    <t>Audit Date</t>
  </si>
  <si>
    <t>Picture</t>
  </si>
  <si>
    <t>Pest</t>
  </si>
  <si>
    <t>Area</t>
  </si>
  <si>
    <t>Observations</t>
  </si>
  <si>
    <t xml:space="preserve">Action plan </t>
  </si>
  <si>
    <t>Time line / Status</t>
  </si>
  <si>
    <t>Responsibility</t>
  </si>
  <si>
    <t>Status</t>
  </si>
  <si>
    <t>Ageing Days</t>
  </si>
  <si>
    <t>Remarks</t>
  </si>
  <si>
    <t>Name of the person doing insepction</t>
  </si>
  <si>
    <t>Client Representative</t>
  </si>
  <si>
    <t>Designation</t>
  </si>
  <si>
    <t>Date of Visit</t>
  </si>
  <si>
    <t>Email ID</t>
  </si>
  <si>
    <t xml:space="preserve"> Contact No</t>
  </si>
  <si>
    <t>DEKRIMINATORS PVT LTD</t>
  </si>
  <si>
    <t>No. 217, 3rd A Cross, 10th A Main, Banaswadi, HRBR Layout Stage 1, Bangalore 560043</t>
  </si>
  <si>
    <t>Date of Vi</t>
  </si>
  <si>
    <t>Email ID / Contact 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</si>
</sst>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9">
    <font>
      <sz val="10"/>
      <name val="Arial"/>
      <charset val="1"/>
    </font>
    <font>
      <sz val="10"/>
      <name val="Arial"/>
      <family val="2"/>
      <charset val="1"/>
    </font>
    <font>
      <b/>
      <sz val="14"/>
      <name val="Arial"/>
      <family val="2"/>
      <charset val="1"/>
    </font>
    <font>
      <b/>
      <sz val="10"/>
      <name val="Arial"/>
      <family val="2"/>
      <charset val="1"/>
    </font>
    <font>
      <b/>
      <sz val="16"/>
      <name val="Arial"/>
      <family val="3"/>
      <charset val="1"/>
    </font>
    <font>
      <u/>
      <sz val="10"/>
      <color theme="10"/>
      <name val="Arial"/>
      <family val="2"/>
      <charset val="1"/>
    </font>
    <font>
      <sz val="10"/>
      <name val="Calibri"/>
      <family val="2"/>
      <charset val="1"/>
    </font>
    <font>
      <b/>
      <sz val="16"/>
      <name val="Neuropol X Rg"/>
      <family val="3"/>
      <charset val="1"/>
    </font>
    <font>
      <b/>
      <sz val="8"/>
      <name val="Arial"/>
      <family val="3"/>
      <charset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FFC0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FFFFCC"/>
        <bgColor rgb="FFFFFFFF"/>
      </patternFill>
    </fill>
  </fills>
  <borders count="27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double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medium">
        <color auto="1"/>
      </right>
      <top style="double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</borders>
  <cellStyleXfs count="2">
    <xf numFmtId="0" fontId="0" fillId="0" borderId="0"/>
    <xf numFmtId="0" fontId="5" fillId="0" borderId="0"/>
  </cellStyleXfs>
  <cellXfs count="75">
    <xf numFmtId="0" fontId="0" fillId="0" borderId="0" xfId="0"/>
    <xf numFmtId="0" fontId="5" fillId="0" borderId="22" xfId="1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 wrapText="1"/>
    </xf>
    <xf numFmtId="164" fontId="1" fillId="0" borderId="18" xfId="0" applyNumberFormat="1" applyFont="1" applyBorder="1" applyAlignment="1">
      <alignment horizontal="center" vertical="center" wrapText="1"/>
    </xf>
    <xf numFmtId="0" fontId="1" fillId="0" borderId="18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5" fillId="0" borderId="18" xfId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  <xf numFmtId="0" fontId="3" fillId="0" borderId="20" xfId="0" applyFont="1" applyBorder="1" applyAlignment="1">
      <alignment horizontal="center" vertical="center" wrapText="1"/>
    </xf>
    <xf numFmtId="0" fontId="1" fillId="3" borderId="11" xfId="0" applyFont="1" applyFill="1" applyBorder="1" applyAlignment="1">
      <alignment horizontal="center" vertical="center" wrapText="1"/>
    </xf>
    <xf numFmtId="0" fontId="3" fillId="3" borderId="12" xfId="0" applyFont="1" applyFill="1" applyBorder="1" applyAlignment="1">
      <alignment horizontal="left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left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2" borderId="2" xfId="0" applyFont="1" applyFill="1" applyBorder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0" fillId="2" borderId="0" xfId="0" applyFill="1"/>
    <xf numFmtId="0" fontId="1" fillId="0" borderId="2" xfId="0" applyFont="1" applyBorder="1" applyAlignment="1">
      <alignment vertical="center" wrapText="1"/>
    </xf>
    <xf numFmtId="0" fontId="4" fillId="2" borderId="4" xfId="0" applyFont="1" applyFill="1" applyBorder="1" applyAlignment="1">
      <alignment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6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vertical="center" wrapText="1"/>
    </xf>
    <xf numFmtId="0" fontId="4" fillId="2" borderId="0" xfId="0" applyFont="1" applyFill="1" applyAlignment="1">
      <alignment vertical="center" wrapText="1"/>
    </xf>
    <xf numFmtId="0" fontId="4" fillId="2" borderId="7" xfId="0" applyFont="1" applyFill="1" applyBorder="1" applyAlignment="1">
      <alignment vertical="center" wrapText="1"/>
    </xf>
    <xf numFmtId="0" fontId="4" fillId="2" borderId="8" xfId="0" applyFont="1" applyFill="1" applyBorder="1" applyAlignment="1">
      <alignment vertical="center" wrapText="1"/>
    </xf>
    <xf numFmtId="0" fontId="4" fillId="2" borderId="9" xfId="0" applyFont="1" applyFill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3" fillId="4" borderId="13" xfId="0" applyFont="1" applyFill="1" applyBorder="1" applyAlignment="1">
      <alignment horizontal="center" vertical="center" wrapText="1"/>
    </xf>
    <xf numFmtId="0" fontId="3" fillId="4" borderId="14" xfId="0" applyFont="1" applyFill="1" applyBorder="1" applyAlignment="1">
      <alignment horizontal="center" vertical="center" wrapText="1"/>
    </xf>
    <xf numFmtId="0" fontId="3" fillId="4" borderId="15" xfId="0" applyFont="1" applyFill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164" fontId="1" fillId="0" borderId="17" xfId="0" applyNumberFormat="1" applyFont="1" applyBorder="1" applyAlignment="1">
      <alignment horizontal="center" vertical="center" textRotation="90" wrapText="1"/>
    </xf>
    <xf numFmtId="0" fontId="1" fillId="0" borderId="18" xfId="0" applyFont="1" applyBorder="1" applyAlignment="1">
      <alignment horizontal="center" vertical="center" wrapText="1"/>
    </xf>
    <xf numFmtId="0" fontId="1" fillId="5" borderId="18" xfId="0" applyFont="1" applyFill="1" applyBorder="1" applyAlignment="1">
      <alignment horizontal="center" vertical="center" textRotation="90" wrapText="1"/>
    </xf>
    <xf numFmtId="0" fontId="1" fillId="5" borderId="18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textRotation="90" wrapText="1"/>
    </xf>
    <xf numFmtId="0" fontId="1" fillId="2" borderId="17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1" fillId="0" borderId="17" xfId="0" applyFont="1" applyBorder="1" applyAlignment="1">
      <alignment horizontal="center" vertical="center" wrapText="1"/>
    </xf>
    <xf numFmtId="0" fontId="1" fillId="0" borderId="22" xfId="0" applyFont="1" applyBorder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/>
    <xf numFmtId="0" fontId="4" fillId="2" borderId="23" xfId="0" applyFont="1" applyFill="1" applyBorder="1" applyAlignment="1">
      <alignment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0" borderId="24" xfId="0" applyFont="1" applyBorder="1" applyAlignment="1">
      <alignment vertical="center" wrapText="1"/>
    </xf>
    <xf numFmtId="0" fontId="1" fillId="0" borderId="20" xfId="0" applyFont="1" applyBorder="1" applyAlignment="1">
      <alignment horizontal="center" vertical="center" wrapText="1"/>
    </xf>
    <xf numFmtId="0" fontId="1" fillId="0" borderId="17" xfId="0" applyFont="1" applyBorder="1" applyAlignment="1">
      <alignment vertical="center" wrapText="1"/>
    </xf>
    <xf numFmtId="0" fontId="1" fillId="5" borderId="17" xfId="0" applyFont="1" applyFill="1" applyBorder="1" applyAlignment="1">
      <alignment horizontal="center" vertical="center" textRotation="90" wrapText="1"/>
    </xf>
    <xf numFmtId="0" fontId="1" fillId="5" borderId="17" xfId="0" applyFont="1" applyFill="1" applyBorder="1" applyAlignment="1">
      <alignment vertical="center" wrapText="1"/>
    </xf>
    <xf numFmtId="0" fontId="1" fillId="2" borderId="19" xfId="0" applyFont="1" applyFill="1" applyBorder="1" applyAlignment="1">
      <alignment vertical="center" wrapText="1"/>
    </xf>
    <xf numFmtId="0" fontId="1" fillId="0" borderId="25" xfId="0" applyFont="1" applyBorder="1" applyAlignment="1">
      <alignment vertical="center" wrapText="1"/>
    </xf>
    <xf numFmtId="0" fontId="1" fillId="0" borderId="26" xfId="0" applyFont="1" applyBorder="1" applyAlignment="1">
      <alignment vertical="center" wrapText="1"/>
    </xf>
    <xf numFmtId="0" fontId="1" fillId="5" borderId="18" xfId="0" applyFont="1" applyFill="1" applyBorder="1" applyAlignment="1">
      <alignment horizontal="right" vertical="center" textRotation="90" wrapText="1"/>
    </xf>
    <xf numFmtId="0" fontId="1" fillId="5" borderId="18" xfId="0" applyFont="1" applyFill="1" applyBorder="1" applyAlignment="1">
      <alignment vertical="center" wrapText="1"/>
    </xf>
    <xf numFmtId="0" fontId="1" fillId="0" borderId="13" xfId="0" applyFont="1" applyBorder="1" applyAlignment="1">
      <alignment horizontal="center" vertical="center" wrapText="1"/>
    </xf>
    <xf numFmtId="164" fontId="1" fillId="0" borderId="14" xfId="0" applyNumberFormat="1" applyFont="1" applyBorder="1" applyAlignment="1">
      <alignment horizontal="center" vertical="center" textRotation="90" wrapText="1"/>
    </xf>
    <xf numFmtId="0" fontId="1" fillId="0" borderId="14" xfId="0" applyFont="1" applyBorder="1" applyAlignment="1">
      <alignment horizontal="center" vertical="center" wrapText="1"/>
    </xf>
    <xf numFmtId="0" fontId="1" fillId="5" borderId="14" xfId="0" applyFont="1" applyFill="1" applyBorder="1" applyAlignment="1">
      <alignment horizontal="center" vertical="center" textRotation="90" wrapText="1"/>
    </xf>
    <xf numFmtId="0" fontId="1" fillId="5" borderId="14" xfId="0" applyFont="1" applyFill="1" applyBorder="1" applyAlignment="1">
      <alignment horizontal="right" vertical="center" textRotation="90" wrapText="1"/>
    </xf>
    <xf numFmtId="0" fontId="1" fillId="5" borderId="14" xfId="0" applyFont="1" applyFill="1" applyBorder="1" applyAlignment="1">
      <alignment vertical="center" wrapText="1"/>
    </xf>
    <xf numFmtId="0" fontId="1" fillId="2" borderId="14" xfId="0" applyFont="1" applyFill="1" applyBorder="1" applyAlignment="1">
      <alignment horizontal="center" vertical="center" textRotation="90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15" xfId="0" applyFont="1" applyFill="1" applyBorder="1" applyAlignment="1">
      <alignment vertical="center" wrapText="1"/>
    </xf>
    <xf numFmtId="0" fontId="1" fillId="0" borderId="18" xfId="0" applyFont="1" applyBorder="1" applyAlignment="1">
      <alignment vertical="center" wrapText="1"/>
    </xf>
    <xf numFmtId="0" fontId="1" fillId="0" borderId="22" xfId="0" applyFont="1" applyBorder="1" applyAlignment="1">
      <alignment vertical="center" wrapText="1"/>
    </xf>
    <xf numFmtId="0" fontId="7" fillId="2" borderId="0" xfId="0" applyFont="1" applyFill="1" applyAlignment="1">
      <alignment horizontal="center" vertical="center" wrapText="1"/>
    </xf>
    <xf numFmtId="0" fontId="8" fillId="2" borderId="8" xfId="0" applyFont="1" applyFill="1" applyBorder="1" applyAlignment="1">
      <alignment horizontal="center" vertical="center" wrapText="1"/>
    </xf>
    <xf numFmtId="0" fontId="3" fillId="0" borderId="20" xfId="0" applyFont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 wrapText="1"/>
    </xf>
    <xf numFmtId="0" fontId="3" fillId="0" borderId="21" xfId="0" applyFont="1" applyBorder="1" applyAlignment="1">
      <alignment horizontal="left" vertical="center" wrapText="1"/>
    </xf>
    <xf numFmtId="0" fontId="1" fillId="0" borderId="22" xfId="0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6">
    <dxf>
      <font>
        <color rgb="FFFF0000"/>
      </font>
    </dxf>
    <dxf>
      <font>
        <color rgb="FF7030A0"/>
      </font>
    </dxf>
    <dxf>
      <font>
        <color rgb="FF00B050"/>
      </font>
    </dxf>
    <dxf>
      <font>
        <color rgb="FFFF0000"/>
      </font>
    </dxf>
    <dxf>
      <font>
        <color rgb="FF7030A0"/>
      </font>
    </dxf>
    <dxf>
      <font>
        <color rgb="FF00B050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17643</xdr:colOff>
      <xdr:row>2</xdr:row>
      <xdr:rowOff>136071</xdr:rowOff>
    </xdr:from>
    <xdr:to>
      <xdr:col>12</xdr:col>
      <xdr:colOff>1385482</xdr:colOff>
      <xdr:row>2</xdr:row>
      <xdr:rowOff>926271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1073447" y="476250"/>
          <a:ext cx="1367839" cy="790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76320</xdr:colOff>
      <xdr:row>2</xdr:row>
      <xdr:rowOff>200160</xdr:rowOff>
    </xdr:from>
    <xdr:to>
      <xdr:col>6</xdr:col>
      <xdr:colOff>95040</xdr:colOff>
      <xdr:row>5</xdr:row>
      <xdr:rowOff>961920</xdr:rowOff>
    </xdr:to>
    <xdr:grpSp>
      <xdr:nvGrpSpPr>
        <xdr:cNvPr id="31" name="Group 1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GrpSpPr/>
      </xdr:nvGrpSpPr>
      <xdr:grpSpPr>
        <a:xfrm>
          <a:off x="666870" y="533535"/>
          <a:ext cx="4095420" cy="3647835"/>
          <a:chOff x="700560" y="533520"/>
          <a:chExt cx="4327920" cy="3647880"/>
        </a:xfrm>
      </xdr:grpSpPr>
      <xdr:sp macro="" textlink="">
        <xdr:nvSpPr>
          <xdr:cNvPr id="32" name="Picture 2">
            <a:extLst>
              <a:ext uri="{FF2B5EF4-FFF2-40B4-BE49-F238E27FC236}">
                <a16:creationId xmlns:a16="http://schemas.microsoft.com/office/drawing/2014/main" id="{00000000-0008-0000-0100-000020000000}"/>
              </a:ext>
            </a:extLst>
          </xdr:cNvPr>
          <xdr:cNvSpPr/>
        </xdr:nvSpPr>
        <xdr:spPr>
          <a:xfrm>
            <a:off x="700560" y="533520"/>
            <a:ext cx="4327920" cy="3647880"/>
          </a:xfrm>
          <a:prstGeom prst="ellipse">
            <a:avLst/>
          </a:prstGeom>
          <a:blipFill rotWithShape="0">
            <a:blip xmlns:r="http://schemas.openxmlformats.org/officeDocument/2006/relationships" r:embed="rId1"/>
            <a:srcRect/>
            <a:stretch/>
          </a:blipFill>
          <a:ln w="190500" cap="rnd">
            <a:solidFill>
              <a:srgbClr val="C8C6BD"/>
            </a:solidFill>
            <a:round/>
          </a:ln>
          <a:scene3d>
            <a:camera prst="orthographicFront"/>
            <a:lightRig rig="threePt" dir="t"/>
          </a:scene3d>
          <a:sp3d extrusionH="25400"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/>
        </xdr:style>
      </xdr:sp>
    </xdr:grpSp>
    <xdr:clientData/>
  </xdr:twoCellAnchor>
  <xdr:twoCellAnchor editAs="oneCell">
    <xdr:from>
      <xdr:col>7</xdr:col>
      <xdr:colOff>723960</xdr:colOff>
      <xdr:row>2</xdr:row>
      <xdr:rowOff>466560</xdr:rowOff>
    </xdr:from>
    <xdr:to>
      <xdr:col>10</xdr:col>
      <xdr:colOff>390240</xdr:colOff>
      <xdr:row>4</xdr:row>
      <xdr:rowOff>18360</xdr:rowOff>
    </xdr:to>
    <xdr:pic>
      <xdr:nvPicPr>
        <xdr:cNvPr id="33" name="Picture 5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7680960" y="799920"/>
          <a:ext cx="2757600" cy="14760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P49"/>
  <sheetViews>
    <sheetView tabSelected="1" view="pageBreakPreview" zoomScale="56" zoomScaleNormal="56" zoomScaleSheetLayoutView="56" workbookViewId="0">
      <selection activeCell="O2" sqref="O2"/>
    </sheetView>
  </sheetViews>
  <sheetFormatPr defaultColWidth="9.140625" defaultRowHeight="12.75"/>
  <cols>
    <col min="1" max="1" width="3.5703125" style="15" customWidth="1"/>
    <col min="2" max="2" width="5.28515625" style="15" customWidth="1"/>
    <col min="3" max="3" width="5.7109375" style="15" customWidth="1"/>
    <col min="4" max="4" width="35.85546875" style="15" customWidth="1"/>
    <col min="5" max="5" width="8" style="16" customWidth="1"/>
    <col min="6" max="6" width="11.5703125" style="15" customWidth="1"/>
    <col min="7" max="8" width="28.7109375" style="15" customWidth="1"/>
    <col min="9" max="9" width="13.7109375" style="15" customWidth="1"/>
    <col min="10" max="10" width="10.28515625" style="15" customWidth="1"/>
    <col min="11" max="11" width="6.85546875" style="15" customWidth="1"/>
    <col min="12" max="12" width="7.28515625" style="15" customWidth="1"/>
    <col min="13" max="13" width="23.42578125" style="15" customWidth="1"/>
    <col min="14" max="14" width="24.5703125" style="15" customWidth="1"/>
    <col min="15" max="16384" width="9.140625" style="15"/>
  </cols>
  <sheetData>
    <row r="2" spans="1:16" ht="13.5" customHeight="1"/>
    <row r="3" spans="1:16" ht="151.5" customHeight="1">
      <c r="B3" s="14" t="s">
        <v>0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</row>
    <row r="4" spans="1:16" s="18" customFormat="1" ht="12" customHeight="1">
      <c r="A4" s="17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P4" s="19"/>
    </row>
    <row r="5" spans="1:16" ht="30" customHeight="1">
      <c r="A5" s="20"/>
      <c r="B5" s="12" t="s">
        <v>1</v>
      </c>
      <c r="C5" s="12"/>
      <c r="D5" s="12"/>
      <c r="E5" s="11"/>
      <c r="F5" s="11"/>
      <c r="G5" s="11"/>
      <c r="H5" s="11"/>
      <c r="I5" s="10" t="s">
        <v>2</v>
      </c>
      <c r="J5" s="10"/>
      <c r="K5" s="9"/>
      <c r="L5" s="9"/>
      <c r="M5" s="9"/>
    </row>
    <row r="6" spans="1:16" s="18" customFormat="1" ht="12" customHeight="1">
      <c r="A6" s="17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P6" s="19"/>
    </row>
    <row r="7" spans="1:16" s="16" customFormat="1" ht="27" customHeight="1">
      <c r="A7" s="29"/>
      <c r="B7" s="30" t="s">
        <v>3</v>
      </c>
      <c r="C7" s="31" t="s">
        <v>4</v>
      </c>
      <c r="D7" s="31" t="s">
        <v>5</v>
      </c>
      <c r="E7" s="31" t="s">
        <v>6</v>
      </c>
      <c r="F7" s="31" t="s">
        <v>7</v>
      </c>
      <c r="G7" s="31" t="s">
        <v>8</v>
      </c>
      <c r="H7" s="31" t="s">
        <v>9</v>
      </c>
      <c r="I7" s="31" t="s">
        <v>10</v>
      </c>
      <c r="J7" s="31" t="s">
        <v>11</v>
      </c>
      <c r="K7" s="31" t="s">
        <v>12</v>
      </c>
      <c r="L7" s="31" t="s">
        <v>13</v>
      </c>
      <c r="M7" s="32" t="s">
        <v>14</v>
      </c>
    </row>
    <row r="8" spans="1:16" ht="153.75" customHeight="1">
      <c r="B8" s="33">
        <v>1</v>
      </c>
      <c r="C8" s="34"/>
      <c r="D8" s="35"/>
      <c r="E8" s="36"/>
      <c r="F8" s="36"/>
      <c r="G8" s="37"/>
      <c r="H8" s="37"/>
      <c r="I8" s="38"/>
      <c r="J8" s="38"/>
      <c r="K8" s="38"/>
      <c r="L8" s="39"/>
      <c r="M8" s="40"/>
    </row>
    <row r="9" spans="1:16" ht="153.75" customHeight="1">
      <c r="B9" s="33">
        <f>B8+1</f>
        <v>2</v>
      </c>
      <c r="C9" s="34"/>
      <c r="D9" s="35"/>
      <c r="E9" s="36"/>
      <c r="F9" s="36"/>
      <c r="G9" s="37"/>
      <c r="H9" s="37"/>
      <c r="I9" s="38"/>
      <c r="J9" s="38"/>
      <c r="K9" s="38"/>
      <c r="L9" s="39"/>
      <c r="M9" s="40"/>
    </row>
    <row r="10" spans="1:16" ht="153.75" customHeight="1">
      <c r="B10" s="33">
        <f>B9+1</f>
        <v>3</v>
      </c>
      <c r="C10" s="34"/>
      <c r="D10" s="35"/>
      <c r="E10" s="36"/>
      <c r="F10" s="36"/>
      <c r="G10" s="37"/>
      <c r="H10" s="37"/>
      <c r="I10" s="38"/>
      <c r="J10" s="38"/>
      <c r="K10" s="38"/>
      <c r="L10" s="39"/>
      <c r="M10" s="40"/>
    </row>
    <row r="11" spans="1:16" ht="153.75" customHeight="1">
      <c r="B11" s="33">
        <f>B10+1</f>
        <v>4</v>
      </c>
      <c r="C11" s="34"/>
      <c r="D11" s="35"/>
      <c r="E11" s="36"/>
      <c r="F11" s="36"/>
      <c r="G11" s="37"/>
      <c r="H11" s="37"/>
      <c r="I11" s="38"/>
      <c r="J11" s="38"/>
      <c r="K11" s="38"/>
      <c r="L11" s="39"/>
      <c r="M11" s="40"/>
    </row>
    <row r="12" spans="1:16" ht="153.75" customHeight="1">
      <c r="B12" s="33">
        <f>B11+1</f>
        <v>5</v>
      </c>
      <c r="C12" s="34"/>
      <c r="D12" s="35"/>
      <c r="E12" s="36"/>
      <c r="F12" s="36"/>
      <c r="G12" s="37"/>
      <c r="H12" s="37"/>
      <c r="I12" s="38"/>
      <c r="J12" s="38"/>
      <c r="K12" s="38"/>
      <c r="L12" s="39"/>
      <c r="M12" s="40"/>
    </row>
    <row r="13" spans="1:16" ht="153.75" customHeight="1">
      <c r="B13" s="33">
        <f>B12+1</f>
        <v>6</v>
      </c>
      <c r="C13" s="34"/>
      <c r="D13" s="35"/>
      <c r="E13" s="36"/>
      <c r="F13" s="36"/>
      <c r="G13" s="37"/>
      <c r="H13" s="37"/>
      <c r="I13" s="38"/>
      <c r="J13" s="38"/>
      <c r="K13" s="38"/>
      <c r="L13" s="39"/>
      <c r="M13" s="40"/>
    </row>
    <row r="14" spans="1:16" ht="153.75" customHeight="1">
      <c r="B14" s="33">
        <f>B13+1</f>
        <v>7</v>
      </c>
      <c r="C14" s="34"/>
      <c r="D14" s="35"/>
      <c r="E14" s="36"/>
      <c r="F14" s="36"/>
      <c r="G14" s="37"/>
      <c r="H14" s="37"/>
      <c r="I14" s="38"/>
      <c r="J14" s="38"/>
      <c r="K14" s="38"/>
      <c r="L14" s="39"/>
      <c r="M14" s="40"/>
    </row>
    <row r="15" spans="1:16" ht="153.75" customHeight="1">
      <c r="B15" s="33">
        <f>B14+1</f>
        <v>8</v>
      </c>
      <c r="C15" s="34"/>
      <c r="D15" s="35"/>
      <c r="E15" s="36"/>
      <c r="F15" s="36"/>
      <c r="G15" s="37"/>
      <c r="H15" s="37"/>
      <c r="I15" s="38"/>
      <c r="J15" s="38"/>
      <c r="K15" s="38"/>
      <c r="L15" s="39"/>
      <c r="M15" s="40"/>
    </row>
    <row r="16" spans="1:16" ht="153.75" customHeight="1">
      <c r="B16" s="33">
        <f>B15+1</f>
        <v>9</v>
      </c>
      <c r="C16" s="34"/>
      <c r="D16" s="35"/>
      <c r="E16" s="36"/>
      <c r="F16" s="36"/>
      <c r="G16" s="37"/>
      <c r="H16" s="37"/>
      <c r="I16" s="38"/>
      <c r="J16" s="38"/>
      <c r="K16" s="38"/>
      <c r="L16" s="39"/>
      <c r="M16" s="40"/>
    </row>
    <row r="17" spans="2:16" ht="153.75" customHeight="1">
      <c r="B17" s="33">
        <f>B16+1</f>
        <v>10</v>
      </c>
      <c r="C17" s="34"/>
      <c r="D17" s="35"/>
      <c r="E17" s="36"/>
      <c r="F17" s="36"/>
      <c r="G17" s="37"/>
      <c r="H17" s="37"/>
      <c r="I17" s="38"/>
      <c r="J17" s="38"/>
      <c r="K17" s="38"/>
      <c r="L17" s="39"/>
      <c r="M17" s="40"/>
    </row>
    <row r="18" spans="2:16" ht="153.75" customHeight="1">
      <c r="B18" s="33">
        <f>B17+1</f>
        <v>11</v>
      </c>
      <c r="C18" s="34"/>
      <c r="D18" s="35"/>
      <c r="E18" s="36"/>
      <c r="F18" s="36"/>
      <c r="G18" s="37"/>
      <c r="H18" s="37"/>
      <c r="I18" s="38"/>
      <c r="J18" s="38"/>
      <c r="K18" s="38"/>
      <c r="L18" s="39"/>
      <c r="M18" s="40"/>
    </row>
    <row r="19" spans="2:16" ht="153.75" customHeight="1">
      <c r="B19" s="33">
        <f>B18+1</f>
        <v>12</v>
      </c>
      <c r="C19" s="34"/>
      <c r="D19" s="35"/>
      <c r="E19" s="36"/>
      <c r="F19" s="36"/>
      <c r="G19" s="37"/>
      <c r="H19" s="37"/>
      <c r="I19" s="38"/>
      <c r="J19" s="38"/>
      <c r="K19" s="38"/>
      <c r="L19" s="39"/>
      <c r="M19" s="40"/>
    </row>
    <row r="20" spans="2:16" ht="153.75" customHeight="1">
      <c r="B20" s="33">
        <f>B19+1</f>
        <v>13</v>
      </c>
      <c r="C20" s="34"/>
      <c r="D20" s="35"/>
      <c r="E20" s="36"/>
      <c r="F20" s="36"/>
      <c r="G20" s="37"/>
      <c r="H20" s="37"/>
      <c r="I20" s="38"/>
      <c r="J20" s="38"/>
      <c r="K20" s="38"/>
      <c r="L20" s="39"/>
      <c r="M20" s="40"/>
    </row>
    <row r="21" spans="2:16" ht="153.75" customHeight="1">
      <c r="B21" s="33">
        <f>B20+1</f>
        <v>14</v>
      </c>
      <c r="C21" s="34"/>
      <c r="D21" s="35"/>
      <c r="E21" s="36"/>
      <c r="F21" s="36"/>
      <c r="G21" s="37"/>
      <c r="H21" s="37"/>
      <c r="I21" s="38"/>
      <c r="J21" s="38"/>
      <c r="K21" s="38"/>
      <c r="L21" s="39"/>
      <c r="M21" s="40"/>
    </row>
    <row r="22" spans="2:16" ht="153.75" customHeight="1">
      <c r="B22" s="33">
        <f>B21+1</f>
        <v>15</v>
      </c>
      <c r="C22" s="34"/>
      <c r="D22" s="35"/>
      <c r="E22" s="36"/>
      <c r="F22" s="36"/>
      <c r="G22" s="37"/>
      <c r="H22" s="37"/>
      <c r="I22" s="38"/>
      <c r="J22" s="38"/>
      <c r="K22" s="38"/>
      <c r="L22" s="39"/>
      <c r="M22" s="40"/>
    </row>
    <row r="23" spans="2:16" ht="153.75" customHeight="1">
      <c r="B23" s="33">
        <f>B22+1</f>
        <v>16</v>
      </c>
      <c r="C23" s="34"/>
      <c r="D23" s="35"/>
      <c r="E23" s="36"/>
      <c r="F23" s="36"/>
      <c r="G23" s="37"/>
      <c r="H23" s="37"/>
      <c r="I23" s="38"/>
      <c r="J23" s="38"/>
      <c r="K23" s="38"/>
      <c r="L23" s="39"/>
      <c r="M23" s="40"/>
    </row>
    <row r="24" spans="2:16" ht="153.75" customHeight="1">
      <c r="B24" s="33">
        <f>B23+1</f>
        <v>17</v>
      </c>
      <c r="C24" s="34"/>
      <c r="D24" s="35"/>
      <c r="E24" s="36"/>
      <c r="F24" s="36"/>
      <c r="G24" s="37"/>
      <c r="H24" s="37"/>
      <c r="I24" s="38"/>
      <c r="J24" s="38"/>
      <c r="K24" s="38"/>
      <c r="L24" s="39"/>
      <c r="M24" s="40"/>
    </row>
    <row r="25" spans="2:16" ht="153.75" customHeight="1">
      <c r="B25" s="33">
        <f>B24+1</f>
        <v>18</v>
      </c>
      <c r="C25" s="34"/>
      <c r="D25" s="35"/>
      <c r="E25" s="36"/>
      <c r="F25" s="36"/>
      <c r="G25" s="37"/>
      <c r="H25" s="37"/>
      <c r="I25" s="38"/>
      <c r="J25" s="38"/>
      <c r="K25" s="38"/>
      <c r="L25" s="39"/>
      <c r="M25" s="40"/>
    </row>
    <row r="26" spans="2:16" ht="153.75" customHeight="1">
      <c r="B26" s="33">
        <f>B25+1</f>
        <v>19</v>
      </c>
      <c r="C26" s="34"/>
      <c r="D26" s="35"/>
      <c r="E26" s="36"/>
      <c r="F26" s="36"/>
      <c r="G26" s="37"/>
      <c r="H26" s="37"/>
      <c r="I26" s="38"/>
      <c r="J26" s="38"/>
      <c r="K26" s="38"/>
      <c r="L26" s="39"/>
      <c r="M26" s="40"/>
      <c r="O26" s="41"/>
      <c r="P26" s="41"/>
    </row>
    <row r="27" spans="2:16" ht="153.75" customHeight="1">
      <c r="B27" s="33">
        <f>B26+1</f>
        <v>20</v>
      </c>
      <c r="C27" s="34"/>
      <c r="D27" s="35"/>
      <c r="E27" s="36"/>
      <c r="F27" s="36"/>
      <c r="G27" s="37"/>
      <c r="H27" s="37"/>
      <c r="I27" s="38"/>
      <c r="J27" s="38"/>
      <c r="K27" s="38"/>
      <c r="L27" s="39"/>
      <c r="M27" s="40"/>
    </row>
    <row r="28" spans="2:16" ht="153.75" customHeight="1">
      <c r="B28" s="33">
        <f>B27+1</f>
        <v>21</v>
      </c>
      <c r="C28" s="34"/>
      <c r="D28" s="35"/>
      <c r="E28" s="36"/>
      <c r="F28" s="36"/>
      <c r="G28" s="37"/>
      <c r="H28" s="37"/>
      <c r="I28" s="38"/>
      <c r="J28" s="38"/>
      <c r="K28" s="38"/>
      <c r="L28" s="39"/>
      <c r="M28" s="40"/>
    </row>
    <row r="29" spans="2:16" ht="153.75" customHeight="1">
      <c r="B29" s="33">
        <f>B28+1</f>
        <v>22</v>
      </c>
      <c r="C29" s="34"/>
      <c r="D29" s="35"/>
      <c r="E29" s="36"/>
      <c r="F29" s="36"/>
      <c r="G29" s="37"/>
      <c r="H29" s="37"/>
      <c r="I29" s="38"/>
      <c r="J29" s="38"/>
      <c r="K29" s="38"/>
      <c r="L29" s="39"/>
      <c r="M29" s="40"/>
    </row>
    <row r="30" spans="2:16" ht="153.75" customHeight="1">
      <c r="B30" s="33">
        <f>B29+1</f>
        <v>23</v>
      </c>
      <c r="C30" s="34"/>
      <c r="D30" s="35"/>
      <c r="E30" s="36"/>
      <c r="F30" s="36"/>
      <c r="G30" s="37"/>
      <c r="H30" s="37"/>
      <c r="I30" s="38"/>
      <c r="J30" s="38"/>
      <c r="K30" s="38"/>
      <c r="L30" s="39"/>
      <c r="M30" s="40"/>
    </row>
    <row r="31" spans="2:16" ht="153.75" customHeight="1">
      <c r="B31" s="33">
        <f>B30+1</f>
        <v>24</v>
      </c>
      <c r="C31" s="34"/>
      <c r="D31" s="35"/>
      <c r="E31" s="36"/>
      <c r="F31" s="36"/>
      <c r="G31" s="37"/>
      <c r="H31" s="37"/>
      <c r="I31" s="38"/>
      <c r="J31" s="38"/>
      <c r="K31" s="38"/>
      <c r="L31" s="39"/>
      <c r="M31" s="40"/>
    </row>
    <row r="32" spans="2:16" ht="153.75" customHeight="1">
      <c r="B32" s="33">
        <f>B31+1</f>
        <v>25</v>
      </c>
      <c r="C32" s="34"/>
      <c r="D32" s="35"/>
      <c r="E32" s="36"/>
      <c r="F32" s="36"/>
      <c r="G32" s="37"/>
      <c r="H32" s="37"/>
      <c r="I32" s="38"/>
      <c r="J32" s="38"/>
      <c r="K32" s="38"/>
      <c r="L32" s="39"/>
      <c r="M32" s="40"/>
    </row>
    <row r="33" spans="1:13" ht="153.75" customHeight="1">
      <c r="B33" s="33">
        <f>B32+1</f>
        <v>26</v>
      </c>
      <c r="C33" s="34"/>
      <c r="D33" s="35"/>
      <c r="E33" s="36"/>
      <c r="F33" s="36"/>
      <c r="G33" s="37"/>
      <c r="H33" s="37"/>
      <c r="I33" s="38"/>
      <c r="J33" s="38"/>
      <c r="K33" s="38"/>
      <c r="L33" s="39"/>
      <c r="M33" s="40"/>
    </row>
    <row r="34" spans="1:13" ht="153.75" customHeight="1">
      <c r="B34" s="33">
        <f>B33+1</f>
        <v>27</v>
      </c>
      <c r="C34" s="34"/>
      <c r="D34" s="35"/>
      <c r="E34" s="36"/>
      <c r="F34" s="36"/>
      <c r="G34" s="37"/>
      <c r="H34" s="37"/>
      <c r="I34" s="38"/>
      <c r="J34" s="38"/>
      <c r="K34" s="38"/>
      <c r="L34" s="39"/>
      <c r="M34" s="40"/>
    </row>
    <row r="35" spans="1:13" ht="153.75" customHeight="1">
      <c r="B35" s="33">
        <f>B34+1</f>
        <v>28</v>
      </c>
      <c r="C35" s="34"/>
      <c r="D35" s="35"/>
      <c r="E35" s="36"/>
      <c r="F35" s="36"/>
      <c r="G35" s="37"/>
      <c r="H35" s="37"/>
      <c r="I35" s="38"/>
      <c r="J35" s="38"/>
      <c r="K35" s="38"/>
      <c r="L35" s="39"/>
      <c r="M35" s="40"/>
    </row>
    <row r="36" spans="1:13" ht="153.75" customHeight="1">
      <c r="B36" s="33">
        <f>B35+1</f>
        <v>29</v>
      </c>
      <c r="C36" s="34"/>
      <c r="D36" s="35"/>
      <c r="E36" s="36"/>
      <c r="F36" s="36"/>
      <c r="G36" s="37"/>
      <c r="H36" s="37"/>
      <c r="I36" s="38"/>
      <c r="J36" s="38"/>
      <c r="K36" s="38"/>
      <c r="L36" s="39"/>
      <c r="M36" s="40"/>
    </row>
    <row r="37" spans="1:13" ht="153.75" customHeight="1">
      <c r="B37" s="33">
        <f>B36+1</f>
        <v>30</v>
      </c>
      <c r="C37" s="34"/>
      <c r="D37" s="35"/>
      <c r="E37" s="36"/>
      <c r="F37" s="36"/>
      <c r="G37" s="37"/>
      <c r="H37" s="37"/>
      <c r="I37" s="38"/>
      <c r="J37" s="38"/>
      <c r="K37" s="38"/>
      <c r="L37" s="39"/>
      <c r="M37" s="40"/>
    </row>
    <row r="38" spans="1:13" ht="19.5" customHeight="1">
      <c r="A38" s="20"/>
      <c r="B38" s="8" t="s">
        <v>15</v>
      </c>
      <c r="C38" s="8"/>
      <c r="D38" s="8"/>
      <c r="E38" s="7"/>
      <c r="F38" s="7"/>
      <c r="G38" s="7"/>
      <c r="H38" s="42" t="s">
        <v>16</v>
      </c>
      <c r="I38" s="6"/>
      <c r="J38" s="6"/>
      <c r="K38" s="6"/>
      <c r="L38" s="6"/>
      <c r="M38" s="6"/>
    </row>
    <row r="39" spans="1:13" ht="19.5" customHeight="1">
      <c r="A39" s="20"/>
      <c r="B39" s="5" t="s">
        <v>17</v>
      </c>
      <c r="C39" s="5"/>
      <c r="D39" s="5"/>
      <c r="E39" s="4"/>
      <c r="F39" s="4"/>
      <c r="G39" s="4"/>
      <c r="H39" s="35" t="s">
        <v>17</v>
      </c>
      <c r="I39" s="4"/>
      <c r="J39" s="4"/>
      <c r="K39" s="4"/>
      <c r="L39" s="4"/>
      <c r="M39" s="4"/>
    </row>
    <row r="40" spans="1:13" ht="19.5" customHeight="1">
      <c r="A40" s="20"/>
      <c r="B40" s="5" t="s">
        <v>18</v>
      </c>
      <c r="C40" s="5"/>
      <c r="D40" s="5"/>
      <c r="E40" s="3"/>
      <c r="F40" s="3"/>
      <c r="G40" s="3"/>
      <c r="H40" s="35" t="s">
        <v>19</v>
      </c>
      <c r="I40" s="6"/>
      <c r="J40" s="6"/>
      <c r="K40" s="6"/>
      <c r="L40" s="6"/>
      <c r="M40" s="6"/>
    </row>
    <row r="41" spans="1:13" ht="19.5" customHeight="1">
      <c r="A41" s="20"/>
      <c r="B41" s="2" t="s">
        <v>19</v>
      </c>
      <c r="C41" s="2"/>
      <c r="D41" s="2"/>
      <c r="E41" s="1"/>
      <c r="F41" s="1"/>
      <c r="G41" s="1"/>
      <c r="H41" s="43" t="s">
        <v>20</v>
      </c>
      <c r="I41" s="4"/>
      <c r="J41" s="4"/>
      <c r="K41" s="4"/>
      <c r="L41" s="4"/>
      <c r="M41" s="4"/>
    </row>
    <row r="42" spans="1:13">
      <c r="G42" s="44"/>
      <c r="H42" s="44"/>
      <c r="I42" s="44"/>
      <c r="J42" s="44"/>
      <c r="K42" s="44"/>
      <c r="L42" s="44"/>
    </row>
    <row r="43" spans="1:13">
      <c r="G43" s="44"/>
      <c r="H43" s="44"/>
      <c r="I43" s="44"/>
      <c r="J43" s="44"/>
      <c r="K43" s="44"/>
      <c r="L43" s="44"/>
    </row>
    <row r="44" spans="1:13">
      <c r="G44" s="44"/>
      <c r="H44" s="44"/>
      <c r="I44" s="44"/>
      <c r="J44" s="44"/>
      <c r="K44" s="44"/>
      <c r="L44" s="44"/>
    </row>
    <row r="45" spans="1:13">
      <c r="G45" s="44"/>
      <c r="H45" s="44"/>
      <c r="I45" s="44"/>
      <c r="J45" s="44"/>
      <c r="K45" s="44"/>
      <c r="L45" s="44"/>
    </row>
    <row r="46" spans="1:13">
      <c r="G46" s="44"/>
      <c r="H46" s="44"/>
      <c r="I46" s="44"/>
      <c r="J46" s="44"/>
      <c r="K46" s="44"/>
      <c r="L46" s="44"/>
    </row>
    <row r="47" spans="1:13">
      <c r="G47" s="44"/>
      <c r="H47" s="44"/>
      <c r="I47" s="44"/>
      <c r="J47" s="44"/>
      <c r="K47" s="44"/>
      <c r="L47" s="44"/>
    </row>
    <row r="48" spans="1:13">
      <c r="G48" s="45"/>
      <c r="H48" s="45"/>
      <c r="I48" s="45"/>
      <c r="J48" s="45"/>
      <c r="K48" s="45"/>
      <c r="L48" s="45"/>
    </row>
    <row r="49" spans="7:12">
      <c r="G49" s="45"/>
      <c r="H49" s="45"/>
      <c r="I49" s="45"/>
      <c r="J49" s="45"/>
      <c r="K49" s="45"/>
      <c r="L49" s="45"/>
    </row>
  </sheetData>
  <mergeCells count="19">
    <mergeCell ref="B40:D40"/>
    <mergeCell ref="E40:G40"/>
    <mergeCell ref="I40:M40"/>
    <mergeCell ref="B41:D41"/>
    <mergeCell ref="E41:G41"/>
    <mergeCell ref="I41:M41"/>
    <mergeCell ref="B6:M6"/>
    <mergeCell ref="B38:D38"/>
    <mergeCell ref="E38:G38"/>
    <mergeCell ref="I38:M38"/>
    <mergeCell ref="B39:D39"/>
    <mergeCell ref="E39:G39"/>
    <mergeCell ref="I39:M39"/>
    <mergeCell ref="B3:M3"/>
    <mergeCell ref="B4:M4"/>
    <mergeCell ref="B5:D5"/>
    <mergeCell ref="E5:H5"/>
    <mergeCell ref="I5:J5"/>
    <mergeCell ref="K5:M5"/>
  </mergeCells>
  <conditionalFormatting sqref="K8:K37">
    <cfRule type="containsText" dxfId="5" priority="2" operator="containsText" text="Close">
      <formula>NOT(ISERROR(SEARCH("Close",K8)))</formula>
    </cfRule>
    <cfRule type="containsText" dxfId="4" priority="3" operator="containsText" text="WIP">
      <formula>NOT(ISERROR(SEARCH("WIP",K8)))</formula>
    </cfRule>
    <cfRule type="containsText" dxfId="3" priority="4" operator="containsText" text="Open">
      <formula>NOT(ISERROR(SEARCH("Open",K8)))</formula>
    </cfRule>
  </conditionalFormatting>
  <dataValidations disablePrompts="1" count="1">
    <dataValidation type="list" allowBlank="1" showInputMessage="1" showErrorMessage="1" sqref="K8:K37" xr:uid="{00000000-0002-0000-0000-000000000000}">
      <formula1>"Open,Close,WIP"</formula1>
      <formula2>0</formula2>
    </dataValidation>
  </dataValidations>
  <printOptions horizontalCentered="1" verticalCentered="1"/>
  <pageMargins left="0" right="0" top="0" bottom="0" header="0.511811023622047" footer="0.511811023622047"/>
  <pageSetup paperSize="9" scale="57" fitToHeight="0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P62"/>
  <sheetViews>
    <sheetView view="pageBreakPreview" zoomScaleNormal="90" workbookViewId="0">
      <selection activeCell="N3" sqref="N3"/>
    </sheetView>
  </sheetViews>
  <sheetFormatPr defaultColWidth="9.140625" defaultRowHeight="12.75"/>
  <cols>
    <col min="1" max="1" width="3.5703125" style="15" customWidth="1"/>
    <col min="2" max="2" width="5.28515625" style="15" customWidth="1"/>
    <col min="3" max="3" width="5.7109375" style="15" customWidth="1"/>
    <col min="4" max="4" width="35.85546875" style="15" customWidth="1"/>
    <col min="5" max="5" width="8" style="16" customWidth="1"/>
    <col min="6" max="6" width="11.5703125" style="15" customWidth="1"/>
    <col min="7" max="8" width="28.7109375" style="15" customWidth="1"/>
    <col min="9" max="9" width="8.28515625" style="15" customWidth="1"/>
    <col min="10" max="11" width="6.85546875" style="15" customWidth="1"/>
    <col min="12" max="12" width="7.28515625" style="15" customWidth="1"/>
    <col min="13" max="13" width="23.42578125" style="15" customWidth="1"/>
    <col min="14" max="14" width="24.5703125" style="15" customWidth="1"/>
    <col min="15" max="16384" width="9.140625" style="15"/>
  </cols>
  <sheetData>
    <row r="2" spans="1:16" ht="13.5" customHeight="1"/>
    <row r="3" spans="1:16" ht="75.75" customHeight="1">
      <c r="A3" s="20"/>
      <c r="B3" s="21"/>
      <c r="C3" s="22"/>
      <c r="D3" s="22"/>
      <c r="E3" s="22"/>
      <c r="F3" s="22"/>
      <c r="G3" s="22"/>
      <c r="H3" s="22"/>
      <c r="I3" s="22"/>
      <c r="J3" s="22"/>
      <c r="K3" s="22"/>
      <c r="L3" s="22"/>
      <c r="M3" s="23"/>
    </row>
    <row r="4" spans="1:16" ht="75.75" customHeight="1">
      <c r="A4" s="20"/>
      <c r="B4" s="24"/>
      <c r="C4" s="25"/>
      <c r="D4" s="25"/>
      <c r="E4" s="25"/>
      <c r="F4" s="25"/>
      <c r="G4" s="25"/>
      <c r="H4" s="25"/>
      <c r="I4" s="25"/>
      <c r="J4" s="25"/>
      <c r="K4" s="25"/>
      <c r="L4" s="25"/>
      <c r="M4" s="26"/>
    </row>
    <row r="5" spans="1:16" ht="75.75" customHeight="1">
      <c r="A5" s="20"/>
      <c r="B5" s="24"/>
      <c r="C5" s="25"/>
      <c r="D5" s="25"/>
      <c r="E5" s="25"/>
      <c r="F5" s="25"/>
      <c r="G5" s="25"/>
      <c r="H5" s="69" t="s">
        <v>21</v>
      </c>
      <c r="I5" s="69"/>
      <c r="J5" s="69"/>
      <c r="K5" s="69"/>
      <c r="L5" s="69"/>
      <c r="M5" s="26"/>
    </row>
    <row r="6" spans="1:16" ht="109.5" customHeight="1">
      <c r="A6" s="20"/>
      <c r="B6" s="46"/>
      <c r="C6" s="27"/>
      <c r="D6" s="27"/>
      <c r="E6" s="27"/>
      <c r="F6" s="27"/>
      <c r="G6" s="27"/>
      <c r="H6" s="70" t="s">
        <v>22</v>
      </c>
      <c r="I6" s="70"/>
      <c r="J6" s="70"/>
      <c r="K6" s="70"/>
      <c r="L6" s="70"/>
      <c r="M6" s="28"/>
    </row>
    <row r="7" spans="1:16" ht="30" customHeight="1">
      <c r="A7" s="20"/>
      <c r="B7" s="12" t="s">
        <v>1</v>
      </c>
      <c r="C7" s="12"/>
      <c r="D7" s="12"/>
      <c r="E7" s="9"/>
      <c r="F7" s="9"/>
      <c r="G7" s="9"/>
      <c r="H7" s="9"/>
      <c r="I7" s="10" t="s">
        <v>2</v>
      </c>
      <c r="J7" s="10"/>
      <c r="K7" s="9"/>
      <c r="L7" s="9"/>
      <c r="M7" s="9"/>
    </row>
    <row r="8" spans="1:16" s="18" customFormat="1" ht="12" customHeight="1">
      <c r="A8" s="17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P8" s="19"/>
    </row>
    <row r="9" spans="1:16" s="16" customFormat="1" ht="39.75" customHeight="1">
      <c r="A9" s="29"/>
      <c r="B9" s="30" t="s">
        <v>3</v>
      </c>
      <c r="C9" s="31" t="s">
        <v>4</v>
      </c>
      <c r="D9" s="31" t="s">
        <v>5</v>
      </c>
      <c r="E9" s="31" t="s">
        <v>6</v>
      </c>
      <c r="F9" s="31" t="s">
        <v>7</v>
      </c>
      <c r="G9" s="31" t="s">
        <v>8</v>
      </c>
      <c r="H9" s="31" t="s">
        <v>9</v>
      </c>
      <c r="I9" s="31" t="s">
        <v>10</v>
      </c>
      <c r="J9" s="31" t="s">
        <v>11</v>
      </c>
      <c r="K9" s="31" t="s">
        <v>12</v>
      </c>
      <c r="L9" s="31" t="s">
        <v>13</v>
      </c>
      <c r="M9" s="47" t="s">
        <v>14</v>
      </c>
    </row>
    <row r="10" spans="1:16" s="54" customFormat="1" ht="153.75" customHeight="1">
      <c r="A10" s="48"/>
      <c r="B10" s="49">
        <v>1</v>
      </c>
      <c r="C10" s="34"/>
      <c r="D10" s="50"/>
      <c r="E10" s="51"/>
      <c r="F10" s="51"/>
      <c r="G10" s="52"/>
      <c r="H10" s="52"/>
      <c r="I10" s="38"/>
      <c r="J10" s="38"/>
      <c r="K10" s="38"/>
      <c r="L10" s="39" t="str">
        <f>IF(OR(K10="Open",K10="WIP"),(TODAY()-C10),"NA")</f>
        <v>NA</v>
      </c>
      <c r="M10" s="53"/>
    </row>
    <row r="11" spans="1:16" ht="153.75" customHeight="1">
      <c r="A11" s="55"/>
      <c r="B11" s="33">
        <v>2</v>
      </c>
      <c r="C11" s="34"/>
      <c r="D11" s="35"/>
      <c r="E11" s="36"/>
      <c r="F11" s="56"/>
      <c r="G11" s="57"/>
      <c r="H11" s="57"/>
      <c r="I11" s="38"/>
      <c r="J11" s="38"/>
      <c r="K11" s="38"/>
      <c r="L11" s="39" t="str">
        <f>IF(OR(K11="Open",K11="WIP"),(TODAY()-C11),"NA")</f>
        <v>NA</v>
      </c>
      <c r="M11" s="53"/>
    </row>
    <row r="12" spans="1:16" ht="153.75" customHeight="1">
      <c r="A12" s="20"/>
      <c r="B12" s="33">
        <v>3</v>
      </c>
      <c r="C12" s="34"/>
      <c r="D12" s="35"/>
      <c r="E12" s="36"/>
      <c r="F12" s="56"/>
      <c r="G12" s="57"/>
      <c r="H12" s="57"/>
      <c r="I12" s="38"/>
      <c r="J12" s="38"/>
      <c r="K12" s="38"/>
      <c r="L12" s="39" t="str">
        <f>IF(OR(K12="Open",K12="WIP"),(TODAY()-C12),"NA")</f>
        <v>NA</v>
      </c>
      <c r="M12" s="53"/>
    </row>
    <row r="13" spans="1:16" ht="153.75" customHeight="1">
      <c r="A13" s="20"/>
      <c r="B13" s="33">
        <v>4</v>
      </c>
      <c r="C13" s="34"/>
      <c r="D13" s="35"/>
      <c r="E13" s="36"/>
      <c r="F13" s="56"/>
      <c r="G13" s="57"/>
      <c r="H13" s="57"/>
      <c r="I13" s="38"/>
      <c r="J13" s="38"/>
      <c r="K13" s="38"/>
      <c r="L13" s="39" t="str">
        <f>IF(OR(K13="Open",K13="WIP"),(TODAY()-C13),"NA")</f>
        <v>NA</v>
      </c>
      <c r="M13" s="53"/>
    </row>
    <row r="14" spans="1:16" ht="153.75" customHeight="1">
      <c r="A14" s="20"/>
      <c r="B14" s="33">
        <v>5</v>
      </c>
      <c r="C14" s="34"/>
      <c r="D14" s="35"/>
      <c r="E14" s="36"/>
      <c r="F14" s="56"/>
      <c r="G14" s="57"/>
      <c r="H14" s="57"/>
      <c r="I14" s="38"/>
      <c r="J14" s="38"/>
      <c r="K14" s="38"/>
      <c r="L14" s="39" t="str">
        <f>IF(OR(K14="Open",K14="WIP"),(TODAY()-C14),"NA")</f>
        <v>NA</v>
      </c>
      <c r="M14" s="53"/>
    </row>
    <row r="15" spans="1:16" ht="153.75" customHeight="1">
      <c r="A15" s="20"/>
      <c r="B15" s="33">
        <v>6</v>
      </c>
      <c r="C15" s="34"/>
      <c r="D15" s="35"/>
      <c r="E15" s="36"/>
      <c r="F15" s="56"/>
      <c r="G15" s="57"/>
      <c r="H15" s="57"/>
      <c r="I15" s="38"/>
      <c r="J15" s="38"/>
      <c r="K15" s="38"/>
      <c r="L15" s="39" t="str">
        <f>IF(OR(K15="Open",K15="WIP"),(TODAY()-C15),"NA")</f>
        <v>NA</v>
      </c>
      <c r="M15" s="53"/>
    </row>
    <row r="16" spans="1:16" ht="153.75" customHeight="1">
      <c r="B16" s="33">
        <v>7</v>
      </c>
      <c r="C16" s="34"/>
      <c r="D16" s="35"/>
      <c r="E16" s="36"/>
      <c r="F16" s="56"/>
      <c r="G16" s="57"/>
      <c r="H16" s="57"/>
      <c r="I16" s="38"/>
      <c r="J16" s="38"/>
      <c r="K16" s="38"/>
      <c r="L16" s="39" t="str">
        <f>IF(OR(K16="Open",K16="WIP"),(TODAY()-C16),"NA")</f>
        <v>NA</v>
      </c>
      <c r="M16" s="53"/>
    </row>
    <row r="17" spans="2:13" ht="153.75" customHeight="1">
      <c r="B17" s="33">
        <v>8</v>
      </c>
      <c r="C17" s="34"/>
      <c r="D17" s="35"/>
      <c r="E17" s="36"/>
      <c r="F17" s="56"/>
      <c r="G17" s="57"/>
      <c r="H17" s="57"/>
      <c r="I17" s="38"/>
      <c r="J17" s="38"/>
      <c r="K17" s="38"/>
      <c r="L17" s="39" t="str">
        <f>IF(OR(K17="Open",K17="WIP"),(TODAY()-C17),"NA")</f>
        <v>NA</v>
      </c>
      <c r="M17" s="53"/>
    </row>
    <row r="18" spans="2:13" ht="153.75" customHeight="1">
      <c r="B18" s="33">
        <v>9</v>
      </c>
      <c r="C18" s="34"/>
      <c r="D18" s="35"/>
      <c r="E18" s="36"/>
      <c r="F18" s="56"/>
      <c r="G18" s="57"/>
      <c r="H18" s="57"/>
      <c r="I18" s="38"/>
      <c r="J18" s="38"/>
      <c r="K18" s="38"/>
      <c r="L18" s="39" t="str">
        <f>IF(OR(K18="Open",K18="WIP"),(TODAY()-C18),"NA")</f>
        <v>NA</v>
      </c>
      <c r="M18" s="53"/>
    </row>
    <row r="19" spans="2:13" ht="153.75" customHeight="1">
      <c r="B19" s="33">
        <v>10</v>
      </c>
      <c r="C19" s="34"/>
      <c r="D19" s="35"/>
      <c r="E19" s="36"/>
      <c r="F19" s="56"/>
      <c r="G19" s="57"/>
      <c r="H19" s="57"/>
      <c r="I19" s="38"/>
      <c r="J19" s="38"/>
      <c r="K19" s="38"/>
      <c r="L19" s="39" t="str">
        <f>IF(OR(K19="Open",K19="WIP"),(TODAY()-C19),"NA")</f>
        <v>NA</v>
      </c>
      <c r="M19" s="53"/>
    </row>
    <row r="20" spans="2:13" ht="153.75" customHeight="1">
      <c r="B20" s="33">
        <v>11</v>
      </c>
      <c r="C20" s="34"/>
      <c r="D20" s="35"/>
      <c r="E20" s="36"/>
      <c r="F20" s="56"/>
      <c r="G20" s="57"/>
      <c r="H20" s="57"/>
      <c r="I20" s="38"/>
      <c r="J20" s="38"/>
      <c r="K20" s="38"/>
      <c r="L20" s="39" t="str">
        <f>IF(OR(K20="Open",K20="WIP"),(TODAY()-C20),"NA")</f>
        <v>NA</v>
      </c>
      <c r="M20" s="53"/>
    </row>
    <row r="21" spans="2:13" ht="153.75" customHeight="1">
      <c r="B21" s="33">
        <v>12</v>
      </c>
      <c r="C21" s="34"/>
      <c r="D21" s="35"/>
      <c r="E21" s="36"/>
      <c r="F21" s="56"/>
      <c r="G21" s="57"/>
      <c r="H21" s="57"/>
      <c r="I21" s="38"/>
      <c r="J21" s="38"/>
      <c r="K21" s="38"/>
      <c r="L21" s="39" t="str">
        <f>IF(OR(K21="Open",K21="WIP"),(TODAY()-C21),"NA")</f>
        <v>NA</v>
      </c>
      <c r="M21" s="53"/>
    </row>
    <row r="22" spans="2:13" ht="153.75" customHeight="1">
      <c r="B22" s="33">
        <v>13</v>
      </c>
      <c r="C22" s="34"/>
      <c r="D22" s="35"/>
      <c r="E22" s="36"/>
      <c r="F22" s="56"/>
      <c r="G22" s="57"/>
      <c r="H22" s="57"/>
      <c r="I22" s="38"/>
      <c r="J22" s="38"/>
      <c r="K22" s="38"/>
      <c r="L22" s="39" t="str">
        <f>IF(OR(K22="Open",K22="WIP"),(TODAY()-C22),"NA")</f>
        <v>NA</v>
      </c>
      <c r="M22" s="53"/>
    </row>
    <row r="23" spans="2:13" ht="153.75" customHeight="1">
      <c r="B23" s="33">
        <v>14</v>
      </c>
      <c r="C23" s="34"/>
      <c r="D23" s="35"/>
      <c r="E23" s="36"/>
      <c r="F23" s="56"/>
      <c r="G23" s="57"/>
      <c r="H23" s="57"/>
      <c r="I23" s="38"/>
      <c r="J23" s="38"/>
      <c r="K23" s="38"/>
      <c r="L23" s="39" t="str">
        <f>IF(OR(K23="Open",K23="WIP"),(TODAY()-C23),"NA")</f>
        <v>NA</v>
      </c>
      <c r="M23" s="53"/>
    </row>
    <row r="24" spans="2:13" ht="153.75" customHeight="1">
      <c r="B24" s="33">
        <v>15</v>
      </c>
      <c r="C24" s="34"/>
      <c r="D24" s="35"/>
      <c r="E24" s="36"/>
      <c r="F24" s="56"/>
      <c r="G24" s="57"/>
      <c r="H24" s="57"/>
      <c r="I24" s="38"/>
      <c r="J24" s="38"/>
      <c r="K24" s="38"/>
      <c r="L24" s="39" t="str">
        <f>IF(OR(K24="Open",K24="WIP"),(TODAY()-C24),"NA")</f>
        <v>NA</v>
      </c>
      <c r="M24" s="53"/>
    </row>
    <row r="25" spans="2:13" ht="153.75" customHeight="1">
      <c r="B25" s="33">
        <v>16</v>
      </c>
      <c r="C25" s="34"/>
      <c r="D25" s="35"/>
      <c r="E25" s="36"/>
      <c r="F25" s="56"/>
      <c r="G25" s="57"/>
      <c r="H25" s="57"/>
      <c r="I25" s="38"/>
      <c r="J25" s="38"/>
      <c r="K25" s="38"/>
      <c r="L25" s="39" t="str">
        <f>IF(OR(K25="Open",K25="WIP"),(TODAY()-C25),"NA")</f>
        <v>NA</v>
      </c>
      <c r="M25" s="53"/>
    </row>
    <row r="26" spans="2:13" ht="153.75" customHeight="1">
      <c r="B26" s="33">
        <v>17</v>
      </c>
      <c r="C26" s="34"/>
      <c r="D26" s="35"/>
      <c r="E26" s="36"/>
      <c r="F26" s="56"/>
      <c r="G26" s="57"/>
      <c r="H26" s="57"/>
      <c r="I26" s="38"/>
      <c r="J26" s="38"/>
      <c r="K26" s="38"/>
      <c r="L26" s="39" t="str">
        <f>IF(OR(K26="Open",K26="WIP"),(TODAY()-C26),"NA")</f>
        <v>NA</v>
      </c>
      <c r="M26" s="53"/>
    </row>
    <row r="27" spans="2:13" ht="153.75" customHeight="1">
      <c r="B27" s="33">
        <v>18</v>
      </c>
      <c r="C27" s="34"/>
      <c r="D27" s="35"/>
      <c r="E27" s="36"/>
      <c r="F27" s="56"/>
      <c r="G27" s="57"/>
      <c r="H27" s="57"/>
      <c r="I27" s="38"/>
      <c r="J27" s="38"/>
      <c r="K27" s="38"/>
      <c r="L27" s="39" t="str">
        <f>IF(OR(K27="Open",K27="WIP"),(TODAY()-C27),"NA")</f>
        <v>NA</v>
      </c>
      <c r="M27" s="53"/>
    </row>
    <row r="28" spans="2:13" ht="153.75" customHeight="1">
      <c r="B28" s="33">
        <v>19</v>
      </c>
      <c r="C28" s="34"/>
      <c r="D28" s="35"/>
      <c r="E28" s="36"/>
      <c r="F28" s="56"/>
      <c r="G28" s="57"/>
      <c r="H28" s="57"/>
      <c r="I28" s="38"/>
      <c r="J28" s="38"/>
      <c r="K28" s="38"/>
      <c r="L28" s="39" t="str">
        <f>IF(OR(K28="Open",K28="WIP"),(TODAY()-C28),"NA")</f>
        <v>NA</v>
      </c>
      <c r="M28" s="53"/>
    </row>
    <row r="29" spans="2:13" ht="153.75" customHeight="1">
      <c r="B29" s="33">
        <v>20</v>
      </c>
      <c r="C29" s="34"/>
      <c r="D29" s="35"/>
      <c r="E29" s="36"/>
      <c r="F29" s="56"/>
      <c r="G29" s="57"/>
      <c r="H29" s="57"/>
      <c r="I29" s="38"/>
      <c r="J29" s="38"/>
      <c r="K29" s="38"/>
      <c r="L29" s="39" t="str">
        <f>IF(OR(K29="Open",K29="WIP"),(TODAY()-C29),"NA")</f>
        <v>NA</v>
      </c>
      <c r="M29" s="53"/>
    </row>
    <row r="30" spans="2:13" ht="153.75" customHeight="1">
      <c r="B30" s="33">
        <v>21</v>
      </c>
      <c r="C30" s="34"/>
      <c r="D30" s="35"/>
      <c r="E30" s="36"/>
      <c r="F30" s="56"/>
      <c r="G30" s="57"/>
      <c r="H30" s="57"/>
      <c r="I30" s="38"/>
      <c r="J30" s="38"/>
      <c r="K30" s="38"/>
      <c r="L30" s="39" t="str">
        <f>IF(OR(K30="Open",K30="WIP"),(TODAY()-C30),"NA")</f>
        <v>NA</v>
      </c>
      <c r="M30" s="53"/>
    </row>
    <row r="31" spans="2:13" ht="153.75" customHeight="1">
      <c r="B31" s="33">
        <v>22</v>
      </c>
      <c r="C31" s="34"/>
      <c r="D31" s="35"/>
      <c r="E31" s="36"/>
      <c r="F31" s="56"/>
      <c r="G31" s="57"/>
      <c r="H31" s="57"/>
      <c r="I31" s="38"/>
      <c r="J31" s="38"/>
      <c r="K31" s="38"/>
      <c r="L31" s="39" t="str">
        <f>IF(OR(K31="Open",K31="WIP"),(TODAY()-C31),"NA")</f>
        <v>NA</v>
      </c>
      <c r="M31" s="53"/>
    </row>
    <row r="32" spans="2:13" ht="153.75" customHeight="1">
      <c r="B32" s="33">
        <v>23</v>
      </c>
      <c r="C32" s="34"/>
      <c r="D32" s="35"/>
      <c r="E32" s="36"/>
      <c r="F32" s="56"/>
      <c r="G32" s="57"/>
      <c r="H32" s="57"/>
      <c r="I32" s="38"/>
      <c r="J32" s="38"/>
      <c r="K32" s="38"/>
      <c r="L32" s="39" t="str">
        <f>IF(OR(K32="Open",K32="WIP"),(TODAY()-C32),"NA")</f>
        <v>NA</v>
      </c>
      <c r="M32" s="53"/>
    </row>
    <row r="33" spans="2:13" ht="153.75" customHeight="1">
      <c r="B33" s="33">
        <v>24</v>
      </c>
      <c r="C33" s="34"/>
      <c r="D33" s="35"/>
      <c r="E33" s="36"/>
      <c r="F33" s="56"/>
      <c r="G33" s="57"/>
      <c r="H33" s="57"/>
      <c r="I33" s="38"/>
      <c r="J33" s="38"/>
      <c r="K33" s="38"/>
      <c r="L33" s="39" t="str">
        <f>IF(OR(K33="Open",K33="WIP"),(TODAY()-C33),"NA")</f>
        <v>NA</v>
      </c>
      <c r="M33" s="53"/>
    </row>
    <row r="34" spans="2:13" ht="153.75" customHeight="1">
      <c r="B34" s="33">
        <v>25</v>
      </c>
      <c r="C34" s="34"/>
      <c r="D34" s="35"/>
      <c r="E34" s="36"/>
      <c r="F34" s="56"/>
      <c r="G34" s="57"/>
      <c r="H34" s="57"/>
      <c r="I34" s="38"/>
      <c r="J34" s="38"/>
      <c r="K34" s="38"/>
      <c r="L34" s="39" t="str">
        <f>IF(OR(K34="Open",K34="WIP"),(TODAY()-C34),"NA")</f>
        <v>NA</v>
      </c>
      <c r="M34" s="53"/>
    </row>
    <row r="35" spans="2:13" ht="153.75" customHeight="1">
      <c r="B35" s="33">
        <v>26</v>
      </c>
      <c r="C35" s="34"/>
      <c r="D35" s="35"/>
      <c r="E35" s="36"/>
      <c r="F35" s="56"/>
      <c r="G35" s="57"/>
      <c r="H35" s="57"/>
      <c r="I35" s="38"/>
      <c r="J35" s="38"/>
      <c r="K35" s="38"/>
      <c r="L35" s="39" t="str">
        <f>IF(OR(K35="Open",K35="WIP"),(TODAY()-C35),"NA")</f>
        <v>NA</v>
      </c>
      <c r="M35" s="53"/>
    </row>
    <row r="36" spans="2:13" ht="153.75" customHeight="1">
      <c r="B36" s="33">
        <v>27</v>
      </c>
      <c r="C36" s="34"/>
      <c r="D36" s="35"/>
      <c r="E36" s="36"/>
      <c r="F36" s="56"/>
      <c r="G36" s="57"/>
      <c r="H36" s="57"/>
      <c r="I36" s="38"/>
      <c r="J36" s="38"/>
      <c r="K36" s="38"/>
      <c r="L36" s="39" t="str">
        <f>IF(OR(K36="Open",K36="WIP"),(TODAY()-C36),"NA")</f>
        <v>NA</v>
      </c>
      <c r="M36" s="53"/>
    </row>
    <row r="37" spans="2:13" ht="153.75" customHeight="1">
      <c r="B37" s="33">
        <v>28</v>
      </c>
      <c r="C37" s="34"/>
      <c r="D37" s="35"/>
      <c r="E37" s="36"/>
      <c r="F37" s="56"/>
      <c r="G37" s="57"/>
      <c r="H37" s="57"/>
      <c r="I37" s="38"/>
      <c r="J37" s="38"/>
      <c r="K37" s="38"/>
      <c r="L37" s="39" t="str">
        <f>IF(OR(K37="Open",K37="WIP"),(TODAY()-C37),"NA")</f>
        <v>NA</v>
      </c>
      <c r="M37" s="53"/>
    </row>
    <row r="38" spans="2:13" ht="153.75" customHeight="1">
      <c r="B38" s="33">
        <v>29</v>
      </c>
      <c r="C38" s="34"/>
      <c r="D38" s="35"/>
      <c r="E38" s="36"/>
      <c r="F38" s="56"/>
      <c r="G38" s="57"/>
      <c r="H38" s="57"/>
      <c r="I38" s="38"/>
      <c r="J38" s="38"/>
      <c r="K38" s="38"/>
      <c r="L38" s="39" t="str">
        <f>IF(OR(K38="Open",K38="WIP"),(TODAY()-C38),"NA")</f>
        <v>NA</v>
      </c>
      <c r="M38" s="53"/>
    </row>
    <row r="39" spans="2:13" ht="153.75" customHeight="1">
      <c r="B39" s="33">
        <v>30</v>
      </c>
      <c r="C39" s="34"/>
      <c r="D39" s="35"/>
      <c r="E39" s="36"/>
      <c r="F39" s="56"/>
      <c r="G39" s="57"/>
      <c r="H39" s="57"/>
      <c r="I39" s="38"/>
      <c r="J39" s="38"/>
      <c r="K39" s="38"/>
      <c r="L39" s="39" t="str">
        <f>IF(OR(K39="Open",K39="WIP"),(TODAY()-C39),"NA")</f>
        <v>NA</v>
      </c>
      <c r="M39" s="53"/>
    </row>
    <row r="40" spans="2:13" ht="153.75" customHeight="1">
      <c r="B40" s="33">
        <v>31</v>
      </c>
      <c r="C40" s="34"/>
      <c r="D40" s="35"/>
      <c r="E40" s="36"/>
      <c r="F40" s="56"/>
      <c r="G40" s="57"/>
      <c r="H40" s="57"/>
      <c r="I40" s="38"/>
      <c r="J40" s="38"/>
      <c r="K40" s="38"/>
      <c r="L40" s="39" t="str">
        <f>IF(OR(K40="Open",K40="WIP"),(TODAY()-C40),"NA")</f>
        <v>NA</v>
      </c>
      <c r="M40" s="53"/>
    </row>
    <row r="41" spans="2:13" ht="153.75" customHeight="1">
      <c r="B41" s="33">
        <v>32</v>
      </c>
      <c r="C41" s="34"/>
      <c r="D41" s="35"/>
      <c r="E41" s="36"/>
      <c r="F41" s="56"/>
      <c r="G41" s="57"/>
      <c r="H41" s="57"/>
      <c r="I41" s="38"/>
      <c r="J41" s="38"/>
      <c r="K41" s="38"/>
      <c r="L41" s="39" t="str">
        <f>IF(OR(K41="Open",K41="WIP"),(TODAY()-C41),"NA")</f>
        <v>NA</v>
      </c>
      <c r="M41" s="53"/>
    </row>
    <row r="42" spans="2:13" ht="153.75" customHeight="1">
      <c r="B42" s="33">
        <v>33</v>
      </c>
      <c r="C42" s="34"/>
      <c r="D42" s="35"/>
      <c r="E42" s="36"/>
      <c r="F42" s="56"/>
      <c r="G42" s="57"/>
      <c r="H42" s="57"/>
      <c r="I42" s="38"/>
      <c r="J42" s="38"/>
      <c r="K42" s="38"/>
      <c r="L42" s="39" t="str">
        <f>IF(OR(K42="Open",K42="WIP"),(TODAY()-C42),"NA")</f>
        <v>NA</v>
      </c>
      <c r="M42" s="53"/>
    </row>
    <row r="43" spans="2:13" ht="153.75" customHeight="1">
      <c r="B43" s="33">
        <v>34</v>
      </c>
      <c r="C43" s="34"/>
      <c r="D43" s="35"/>
      <c r="E43" s="36"/>
      <c r="F43" s="56"/>
      <c r="G43" s="57"/>
      <c r="H43" s="57"/>
      <c r="I43" s="38"/>
      <c r="J43" s="38"/>
      <c r="K43" s="38"/>
      <c r="L43" s="39" t="str">
        <f>IF(OR(K43="Open",K43="WIP"),(TODAY()-C43),"NA")</f>
        <v>NA</v>
      </c>
      <c r="M43" s="53"/>
    </row>
    <row r="44" spans="2:13" ht="153.75" customHeight="1">
      <c r="B44" s="33">
        <v>35</v>
      </c>
      <c r="C44" s="34"/>
      <c r="D44" s="35"/>
      <c r="E44" s="36"/>
      <c r="F44" s="56"/>
      <c r="G44" s="57"/>
      <c r="H44" s="57"/>
      <c r="I44" s="38"/>
      <c r="J44" s="38"/>
      <c r="K44" s="38"/>
      <c r="L44" s="39" t="str">
        <f>IF(OR(K44="Open",K44="WIP"),(TODAY()-C44),"NA")</f>
        <v>NA</v>
      </c>
      <c r="M44" s="53"/>
    </row>
    <row r="45" spans="2:13" ht="153.75" customHeight="1">
      <c r="B45" s="33">
        <v>36</v>
      </c>
      <c r="C45" s="34"/>
      <c r="D45" s="35"/>
      <c r="E45" s="36"/>
      <c r="F45" s="56"/>
      <c r="G45" s="57"/>
      <c r="H45" s="57"/>
      <c r="I45" s="38"/>
      <c r="J45" s="38"/>
      <c r="K45" s="38"/>
      <c r="L45" s="39" t="str">
        <f>IF(OR(K45="Open",K45="WIP"),(TODAY()-C45),"NA")</f>
        <v>NA</v>
      </c>
      <c r="M45" s="53"/>
    </row>
    <row r="46" spans="2:13" ht="153.75" customHeight="1">
      <c r="B46" s="33">
        <v>37</v>
      </c>
      <c r="C46" s="34"/>
      <c r="D46" s="35"/>
      <c r="E46" s="36"/>
      <c r="F46" s="56"/>
      <c r="G46" s="57"/>
      <c r="H46" s="57"/>
      <c r="I46" s="38"/>
      <c r="J46" s="38"/>
      <c r="K46" s="38"/>
      <c r="L46" s="39" t="str">
        <f>IF(OR(K46="Open",K46="WIP"),(TODAY()-C46),"NA")</f>
        <v>NA</v>
      </c>
      <c r="M46" s="53"/>
    </row>
    <row r="47" spans="2:13" ht="153.75" customHeight="1">
      <c r="B47" s="33">
        <v>38</v>
      </c>
      <c r="C47" s="34"/>
      <c r="D47" s="35"/>
      <c r="E47" s="36"/>
      <c r="F47" s="56"/>
      <c r="G47" s="57"/>
      <c r="H47" s="57"/>
      <c r="I47" s="38"/>
      <c r="J47" s="38"/>
      <c r="K47" s="38"/>
      <c r="L47" s="39" t="str">
        <f>IF(OR(K47="Open",K47="WIP"),(TODAY()-C47),"NA")</f>
        <v>NA</v>
      </c>
      <c r="M47" s="53"/>
    </row>
    <row r="48" spans="2:13" ht="153.75" customHeight="1">
      <c r="B48" s="33">
        <v>39</v>
      </c>
      <c r="C48" s="34"/>
      <c r="D48" s="35"/>
      <c r="E48" s="36"/>
      <c r="F48" s="56"/>
      <c r="G48" s="57"/>
      <c r="H48" s="57"/>
      <c r="I48" s="38"/>
      <c r="J48" s="38"/>
      <c r="K48" s="38"/>
      <c r="L48" s="39" t="str">
        <f>IF(OR(K48="Open",K48="WIP"),(TODAY()-C48),"NA")</f>
        <v>NA</v>
      </c>
      <c r="M48" s="53"/>
    </row>
    <row r="49" spans="1:13" ht="153.75" customHeight="1">
      <c r="B49" s="33">
        <v>40</v>
      </c>
      <c r="C49" s="34"/>
      <c r="D49" s="35"/>
      <c r="E49" s="36"/>
      <c r="F49" s="56"/>
      <c r="G49" s="57"/>
      <c r="H49" s="57"/>
      <c r="I49" s="38"/>
      <c r="J49" s="38"/>
      <c r="K49" s="38"/>
      <c r="L49" s="39" t="str">
        <f>IF(OR(K49="Open",K49="WIP"),(TODAY()-C49),"NA")</f>
        <v>NA</v>
      </c>
      <c r="M49" s="53"/>
    </row>
    <row r="50" spans="1:13" ht="153.75" customHeight="1">
      <c r="B50" s="58">
        <v>41</v>
      </c>
      <c r="C50" s="59"/>
      <c r="D50" s="60"/>
      <c r="E50" s="61"/>
      <c r="F50" s="62"/>
      <c r="G50" s="63"/>
      <c r="H50" s="63"/>
      <c r="I50" s="64"/>
      <c r="J50" s="64"/>
      <c r="K50" s="64"/>
      <c r="L50" s="65" t="str">
        <f>IF(OR(K50="Open",K50="WIP"),(TODAY()-C50),"NA")</f>
        <v>NA</v>
      </c>
      <c r="M50" s="66"/>
    </row>
    <row r="51" spans="1:13" ht="19.5" customHeight="1">
      <c r="A51" s="20"/>
      <c r="B51" s="71" t="s">
        <v>15</v>
      </c>
      <c r="C51" s="71"/>
      <c r="D51" s="71"/>
      <c r="E51" s="7"/>
      <c r="F51" s="7"/>
      <c r="G51" s="7"/>
      <c r="H51" s="50" t="s">
        <v>16</v>
      </c>
      <c r="I51" s="7"/>
      <c r="J51" s="7"/>
      <c r="K51" s="7"/>
      <c r="L51" s="7"/>
      <c r="M51" s="7"/>
    </row>
    <row r="52" spans="1:13" ht="19.5" customHeight="1">
      <c r="A52" s="20"/>
      <c r="B52" s="72" t="s">
        <v>17</v>
      </c>
      <c r="C52" s="72"/>
      <c r="D52" s="72"/>
      <c r="E52" s="4"/>
      <c r="F52" s="4"/>
      <c r="G52" s="4"/>
      <c r="H52" s="67" t="s">
        <v>17</v>
      </c>
      <c r="I52" s="4"/>
      <c r="J52" s="4"/>
      <c r="K52" s="4"/>
      <c r="L52" s="4"/>
      <c r="M52" s="4"/>
    </row>
    <row r="53" spans="1:13" ht="19.5" customHeight="1">
      <c r="A53" s="20"/>
      <c r="B53" s="72" t="s">
        <v>23</v>
      </c>
      <c r="C53" s="72"/>
      <c r="D53" s="72"/>
      <c r="E53" s="3"/>
      <c r="F53" s="3"/>
      <c r="G53" s="3"/>
      <c r="H53" s="67" t="s">
        <v>24</v>
      </c>
      <c r="I53" s="4"/>
      <c r="J53" s="4"/>
      <c r="K53" s="4"/>
      <c r="L53" s="4"/>
      <c r="M53" s="4"/>
    </row>
    <row r="54" spans="1:13" ht="19.5" customHeight="1">
      <c r="A54" s="20"/>
      <c r="B54" s="73" t="s">
        <v>19</v>
      </c>
      <c r="C54" s="73"/>
      <c r="D54" s="73"/>
      <c r="E54" s="1"/>
      <c r="F54" s="1"/>
      <c r="G54" s="1"/>
      <c r="H54" s="68" t="s">
        <v>17</v>
      </c>
      <c r="I54" s="74"/>
      <c r="J54" s="74"/>
      <c r="K54" s="74"/>
      <c r="L54" s="74"/>
      <c r="M54" s="74"/>
    </row>
    <row r="55" spans="1:13">
      <c r="G55" s="44"/>
      <c r="H55" s="44"/>
      <c r="I55" s="44"/>
      <c r="J55" s="44"/>
      <c r="K55" s="44"/>
      <c r="L55" s="44"/>
    </row>
    <row r="56" spans="1:13">
      <c r="G56" s="44"/>
      <c r="H56" s="44"/>
      <c r="I56" s="44"/>
      <c r="J56" s="44"/>
      <c r="K56" s="44"/>
      <c r="L56" s="44"/>
    </row>
    <row r="57" spans="1:13">
      <c r="G57" s="44"/>
      <c r="H57" s="44"/>
      <c r="I57" s="44"/>
      <c r="J57" s="44"/>
      <c r="K57" s="44"/>
      <c r="L57" s="44"/>
    </row>
    <row r="58" spans="1:13">
      <c r="G58" s="44"/>
      <c r="H58" s="44"/>
      <c r="I58" s="44"/>
      <c r="J58" s="44"/>
      <c r="K58" s="44"/>
      <c r="L58" s="44"/>
    </row>
    <row r="59" spans="1:13">
      <c r="G59" s="44"/>
      <c r="H59" s="44"/>
      <c r="I59" s="44"/>
      <c r="J59" s="44"/>
      <c r="K59" s="44"/>
      <c r="L59" s="44"/>
    </row>
    <row r="60" spans="1:13">
      <c r="G60" s="44"/>
      <c r="H60" s="44"/>
      <c r="I60" s="44"/>
      <c r="J60" s="44"/>
      <c r="K60" s="44"/>
      <c r="L60" s="44"/>
    </row>
    <row r="61" spans="1:13">
      <c r="G61" s="45"/>
      <c r="H61" s="45"/>
      <c r="I61" s="45"/>
      <c r="J61" s="45"/>
      <c r="K61" s="45"/>
      <c r="L61" s="45"/>
    </row>
    <row r="62" spans="1:13">
      <c r="G62" s="45"/>
      <c r="H62" s="45"/>
      <c r="I62" s="45"/>
      <c r="J62" s="45"/>
      <c r="K62" s="45"/>
      <c r="L62" s="45"/>
    </row>
  </sheetData>
  <autoFilter ref="A9:P54" xr:uid="{00000000-0009-0000-0000-000001000000}"/>
  <mergeCells count="19">
    <mergeCell ref="B53:D53"/>
    <mergeCell ref="E53:G53"/>
    <mergeCell ref="I53:M53"/>
    <mergeCell ref="B54:D54"/>
    <mergeCell ref="E54:G54"/>
    <mergeCell ref="I54:M54"/>
    <mergeCell ref="B8:M8"/>
    <mergeCell ref="B51:D51"/>
    <mergeCell ref="E51:G51"/>
    <mergeCell ref="I51:M51"/>
    <mergeCell ref="B52:D52"/>
    <mergeCell ref="E52:G52"/>
    <mergeCell ref="I52:M52"/>
    <mergeCell ref="H5:L5"/>
    <mergeCell ref="H6:L6"/>
    <mergeCell ref="B7:D7"/>
    <mergeCell ref="E7:H7"/>
    <mergeCell ref="I7:J7"/>
    <mergeCell ref="K7:M7"/>
  </mergeCells>
  <conditionalFormatting sqref="K10:K50">
    <cfRule type="containsText" dxfId="2" priority="2" operator="containsText" text="Close">
      <formula>NOT(ISERROR(SEARCH("Close",K10)))</formula>
    </cfRule>
    <cfRule type="containsText" dxfId="1" priority="3" operator="containsText" text="WIP">
      <formula>NOT(ISERROR(SEARCH("WIP",K10)))</formula>
    </cfRule>
    <cfRule type="containsText" dxfId="0" priority="4" operator="containsText" text="Open">
      <formula>NOT(ISERROR(SEARCH("Open",K10)))</formula>
    </cfRule>
  </conditionalFormatting>
  <dataValidations count="1">
    <dataValidation type="list" allowBlank="1" showInputMessage="1" showErrorMessage="1" sqref="K10:K50" xr:uid="{00000000-0002-0000-0100-000000000000}">
      <formula1>"Open,Close,WIP"</formula1>
      <formula2>0</formula2>
    </dataValidation>
  </dataValidations>
  <pageMargins left="0.23611111111111099" right="0.23611111111111099" top="0.43333333333333302" bottom="0.51180555555555596" header="0.511811023622047" footer="0.511811023622047"/>
  <pageSetup paperSize="9" scale="82" fitToHeight="0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Report</vt:lpstr>
      <vt:lpstr>Sheet (2)</vt:lpstr>
      <vt:lpstr>Report!Print_Area</vt:lpstr>
      <vt:lpstr>'Sheet (2)'!Print_Area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mannam kumar</dc:creator>
  <dc:description/>
  <cp:lastModifiedBy>Guna Varathan</cp:lastModifiedBy>
  <cp:revision>0</cp:revision>
  <cp:lastPrinted>2026-05-18T14:02:40Z</cp:lastPrinted>
  <dcterms:created xsi:type="dcterms:W3CDTF">2009-01-05T11:13:03Z</dcterms:created>
  <dcterms:modified xsi:type="dcterms:W3CDTF">2026-08-21T03:05:55Z</dcterms:modified>
  <dc:language>en-US</dc:language>
</cp:coreProperties>
</file>